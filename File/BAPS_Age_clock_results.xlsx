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581323681ec9d5/Documents/New folder/Desktop/Desktop/kaust/Salmonella/senteriditis/NK_files/"/>
    </mc:Choice>
  </mc:AlternateContent>
  <xr:revisionPtr revIDLastSave="25" documentId="8_{2D0DFD94-CB9E-49BA-871F-A7F3A5EA3FE4}" xr6:coauthVersionLast="47" xr6:coauthVersionMax="47" xr10:uidLastSave="{577D4318-DD86-4351-BBA2-4A4E4E6D3EA5}"/>
  <bookViews>
    <workbookView xWindow="6708" yWindow="2028" windowWidth="16200" windowHeight="12156" xr2:uid="{FC1CBC25-5608-C24B-AFCA-D4FE25E34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<sst xmlns="http://schemas.openxmlformats.org/spreadsheetml/2006/main" count="12" uniqueCount="12">
  <si>
    <t>BAPS</t>
  </si>
  <si>
    <t>age</t>
  </si>
  <si>
    <t>age_lower</t>
  </si>
  <si>
    <t>age_upper</t>
  </si>
  <si>
    <t>clockrate</t>
  </si>
  <si>
    <t>clockrate_upper</t>
  </si>
  <si>
    <t>clockrate_lower</t>
  </si>
  <si>
    <t>clockrate_normalized</t>
  </si>
  <si>
    <t>clockrate_lower_normalized</t>
  </si>
  <si>
    <t>clockrate_upper_normalized</t>
  </si>
  <si>
    <t>Alignment_after_gubbin</t>
  </si>
  <si>
    <t>Alignment_before_gubbin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</si>
</sst>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6BAD-53D8-FC46-8446-D878D0DEC697}">
  <dimension ref="A1:L9"/>
  <sheetViews>
    <sheetView tabSelected="1" workbookViewId="0">
      <selection activeCell="G6" sqref="G6"/>
    </sheetView>
  </sheetViews>
  <sheetFormatPr defaultColWidth="11.19921875" defaultRowHeight="15.6" x14ac:dyDescent="0.3"/>
  <cols>
    <col min="3" max="3" width="13.69921875" customWidth="1"/>
    <col min="4" max="5" width="14.5" customWidth="1"/>
    <col min="7" max="9" width="11.8984375" bestFit="1" customWidth="1"/>
  </cols>
  <sheetData>
    <row r="1" spans="1:12" x14ac:dyDescent="0.3">
      <c r="A1" t="s">
        <v>0</v>
      </c>
      <c r="B1" t="s">
        <v>4</v>
      </c>
      <c r="C1" t="s">
        <v>6</v>
      </c>
      <c r="D1" t="s">
        <v>5</v>
      </c>
      <c r="E1" t="s">
        <v>11</v>
      </c>
      <c r="F1" t="s">
        <v>10</v>
      </c>
      <c r="G1" t="s">
        <v>7</v>
      </c>
      <c r="H1" t="s">
        <v>8</v>
      </c>
      <c r="I1" t="s">
        <v>9</v>
      </c>
      <c r="J1" t="s">
        <v>1</v>
      </c>
      <c r="K1" t="s">
        <v>2</v>
      </c>
      <c r="L1" t="s">
        <v>3</v>
      </c>
    </row>
    <row r="2" spans="1:12" x14ac:dyDescent="0.3">
      <c r="A2">
        <v>1</v>
      </c>
      <c r="B2">
        <v>3.5200000000000002E-2</v>
      </c>
      <c r="C2">
        <v>2.5700000000000001E-2</v>
      </c>
      <c r="D2">
        <v>4.5199999999999997E-2</v>
      </c>
      <c r="E2">
        <v>4745468</v>
      </c>
      <c r="F2">
        <v>141</v>
      </c>
      <c r="G2">
        <f>(B2*F2)/E2</f>
        <v>1.0458820921350645E-6</v>
      </c>
      <c r="H2">
        <f>(C2*F2)/E2</f>
        <v>7.6361277749633966E-7</v>
      </c>
      <c r="I2">
        <f>(D2*F2)/E2</f>
        <v>1.3430076864916169E-6</v>
      </c>
      <c r="J2">
        <v>2018.68</v>
      </c>
      <c r="K2">
        <v>2018.232</v>
      </c>
      <c r="L2">
        <v>2019.04</v>
      </c>
    </row>
    <row r="3" spans="1:12" x14ac:dyDescent="0.3">
      <c r="A3">
        <v>2</v>
      </c>
      <c r="B3">
        <v>6.54E-2</v>
      </c>
      <c r="C3">
        <v>3.6400000000000002E-2</v>
      </c>
      <c r="D3">
        <v>0.10150000000000001</v>
      </c>
      <c r="E3">
        <v>4700903</v>
      </c>
      <c r="F3">
        <v>50</v>
      </c>
      <c r="G3">
        <f t="shared" ref="G3:G6" si="0">(B3*F3)/E3</f>
        <v>6.9561103473098675E-7</v>
      </c>
      <c r="H3">
        <f t="shared" ref="H3:H6" si="1">(C3*F3)/E3</f>
        <v>3.8715965847412723E-7</v>
      </c>
      <c r="I3">
        <f t="shared" ref="I3:I6" si="2">(D3*F3)/E3</f>
        <v>1.0795798168990086E-6</v>
      </c>
      <c r="J3">
        <v>2018.85</v>
      </c>
      <c r="K3">
        <v>2017.49</v>
      </c>
      <c r="L3">
        <v>2019.99</v>
      </c>
    </row>
    <row r="4" spans="1:12" x14ac:dyDescent="0.3">
      <c r="A4">
        <v>3</v>
      </c>
      <c r="B4">
        <v>2.1600000000000001E-2</v>
      </c>
      <c r="C4">
        <v>1.2800000000000001E-2</v>
      </c>
      <c r="D4">
        <v>3.0700000000000002E-2</v>
      </c>
      <c r="E4">
        <v>4777830</v>
      </c>
      <c r="F4">
        <v>88</v>
      </c>
      <c r="G4">
        <f t="shared" si="0"/>
        <v>3.978375120085897E-7</v>
      </c>
      <c r="H4">
        <f t="shared" si="1"/>
        <v>2.3575556267175685E-7</v>
      </c>
      <c r="I4">
        <f t="shared" si="2"/>
        <v>5.6544498234554183E-7</v>
      </c>
      <c r="J4">
        <v>2013.97</v>
      </c>
      <c r="K4">
        <v>2011.97</v>
      </c>
      <c r="L4">
        <v>2015.49</v>
      </c>
    </row>
    <row r="5" spans="1:12" x14ac:dyDescent="0.3">
      <c r="A5">
        <v>6</v>
      </c>
      <c r="B5">
        <v>8.7939999999999997E-3</v>
      </c>
      <c r="C5">
        <v>6.8320000000000004E-3</v>
      </c>
      <c r="D5">
        <v>1.0800000000000001E-2</v>
      </c>
      <c r="E5">
        <v>4698797</v>
      </c>
      <c r="F5">
        <v>286</v>
      </c>
      <c r="G5">
        <f t="shared" si="0"/>
        <v>5.352612594244867E-7</v>
      </c>
      <c r="H5">
        <f t="shared" si="1"/>
        <v>4.1584090566159811E-7</v>
      </c>
      <c r="I5">
        <f t="shared" si="2"/>
        <v>6.5735974548379084E-7</v>
      </c>
      <c r="J5">
        <v>2011.04</v>
      </c>
      <c r="K5">
        <v>2009.22</v>
      </c>
      <c r="L5">
        <v>2012.61</v>
      </c>
    </row>
    <row r="6" spans="1:12" x14ac:dyDescent="0.3">
      <c r="A6">
        <v>7</v>
      </c>
      <c r="B6">
        <v>1.3899999999999999E-2</v>
      </c>
      <c r="C6">
        <v>9.7669999999999996E-3</v>
      </c>
      <c r="D6">
        <v>1.8499999999999999E-2</v>
      </c>
      <c r="E6">
        <v>4696578</v>
      </c>
      <c r="F6">
        <v>134</v>
      </c>
      <c r="G6">
        <f t="shared" si="0"/>
        <v>3.9658662115267748E-7</v>
      </c>
      <c r="H6">
        <f t="shared" si="1"/>
        <v>2.7866629703584184E-7</v>
      </c>
      <c r="I6">
        <f t="shared" si="2"/>
        <v>5.2783111448377953E-7</v>
      </c>
      <c r="J6">
        <v>2008.76</v>
      </c>
      <c r="K6">
        <v>2005.4</v>
      </c>
      <c r="L6">
        <v>2011.98</v>
      </c>
    </row>
    <row r="9" spans="1:12" x14ac:dyDescent="0.3">
      <c r="G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Huang</dc:creator>
  <cp:lastModifiedBy>Nitin Kumar</cp:lastModifiedBy>
  <dcterms:created xsi:type="dcterms:W3CDTF">2024-11-18T10:31:19Z</dcterms:created>
  <dcterms:modified xsi:type="dcterms:W3CDTF">2026-06-05T11:45:39Z</dcterms:modified>
</cp:coreProperties>
</file>